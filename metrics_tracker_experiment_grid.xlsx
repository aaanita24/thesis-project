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" sheetId="1" r:id="rId4"/>
    <sheet state="visible" name="Robustness" sheetId="2" r:id="rId5"/>
    <sheet state="visible" name="Experiment Grid" sheetId="3" r:id="rId6"/>
  </sheets>
  <definedNames/>
  <calcPr/>
  <extLst>
    <ext uri="GoogleSheetsCustomDataVersion2">
      <go:sheetsCustomData xmlns:go="http://customooxmlschemas.google.com/" r:id="rId7" roundtripDataChecksum="z8uOLseHvWC1Y8y9Ye8BQBa+H1LRGw+n0R/yncDiXt0="/>
    </ext>
  </extLst>
</workbook>
</file>

<file path=xl/sharedStrings.xml><?xml version="1.0" encoding="utf-8"?>
<sst xmlns="http://schemas.openxmlformats.org/spreadsheetml/2006/main" count="103" uniqueCount="82">
  <si>
    <t>EXPERIMENT EVALUATION METRICS : MICE vs LLM Imputation  (SES, engineered MNAR missingness)</t>
  </si>
  <si>
    <t>MICE</t>
  </si>
  <si>
    <t>LLM  (Qwen 3-32B)</t>
  </si>
  <si>
    <t>#</t>
  </si>
  <si>
    <t>Metric</t>
  </si>
  <si>
    <t>Scope</t>
  </si>
  <si>
    <t>MCAR
noise floor</t>
  </si>
  <si>
    <t>MNAR
experimental</t>
  </si>
  <si>
    <t>one-shot
MNAR</t>
  </si>
  <si>
    <t>anon-geography
MNAR</t>
  </si>
  <si>
    <t>ACCURACY : wGPG recovery  (25 area × breakdown cells)</t>
  </si>
  <si>
    <t>Bias; mean signed error</t>
  </si>
  <si>
    <t>25 cells</t>
  </si>
  <si>
    <t>MAE</t>
  </si>
  <si>
    <t>RMSE</t>
  </si>
  <si>
    <t>Spearman ρ; wGPG rankings</t>
  </si>
  <si>
    <t>FAIRNESS by breakdown variable : cell-level MAE  (EUR/hr)</t>
  </si>
  <si>
    <t>Contract type</t>
  </si>
  <si>
    <t>masked cells</t>
  </si>
  <si>
    <t>Education</t>
  </si>
  <si>
    <t>Hours regime</t>
  </si>
  <si>
    <t>Occupation</t>
  </si>
  <si>
    <t>Tenure</t>
  </si>
  <si>
    <t>MAE ratio  (worst / best breakdown)</t>
  </si>
  <si>
    <t>fairness</t>
  </si>
  <si>
    <t>DISADVANTAGE-CONDITIONAL FAIRNESS by NUTS-1 tier : cell-level MAE  (EUR/hr)</t>
  </si>
  <si>
    <t>Low-disadvantage tier</t>
  </si>
  <si>
    <t>low tier</t>
  </si>
  <si>
    <t>/</t>
  </si>
  <si>
    <t>Moderate-disadvantage tier</t>
  </si>
  <si>
    <t>moderate tier</t>
  </si>
  <si>
    <t>High-disadvantage tier</t>
  </si>
  <si>
    <t>high tier</t>
  </si>
  <si>
    <t>MAE ratio  (high / low tier)</t>
  </si>
  <si>
    <t>CROSS-CONDITION DIAGNOSTICS</t>
  </si>
  <si>
    <t>MNAR / MCAR MAE ratio (wGPG)</t>
  </si>
  <si>
    <t>vs noise floor</t>
  </si>
  <si>
    <t>ROBUSTNESS CHECKS : iteration, contamination, covariate ablation</t>
  </si>
  <si>
    <t>ITERATION STABILITY:  re-drawn MNAR and iterated LLM; wGPG vs ground truth  (Table 5.4)</t>
  </si>
  <si>
    <t>Method</t>
  </si>
  <si>
    <t>Runs</t>
  </si>
  <si>
    <t>MAE (mean)</t>
  </si>
  <si>
    <t>MAE (SD)</t>
  </si>
  <si>
    <t>Spearman (mean)</t>
  </si>
  <si>
    <t>Spearman (SD)</t>
  </si>
  <si>
    <t>LLM anon. geography (MNAR)</t>
  </si>
  <si>
    <t>LLM one-shot (MNAR)</t>
  </si>
  <si>
    <t>MICE (MNAR)</t>
  </si>
  <si>
    <t>MEMORIZATION TEST :  imputation error vs unseen table vs original 2022 figures  (Table 5.5)</t>
  </si>
  <si>
    <t>Comparison</t>
  </si>
  <si>
    <t>wGPG MAE</t>
  </si>
  <si>
    <t>Error vs altered (unseen) table</t>
  </si>
  <si>
    <t>Error vs original 2022 figures</t>
  </si>
  <si>
    <t>Lower error against the altered table the model was actually shown than against the memorized 2022 figures → the LLM is estimating from the observed cells, not recalling training data.</t>
  </si>
  <si>
    <t>COVARIATE-DELETION: cell-level MAE (EUR/hr), common masked set  (Table 5.6)</t>
  </si>
  <si>
    <t>With covariates</t>
  </si>
  <si>
    <t>Without covariates</t>
  </si>
  <si>
    <t>LLM</t>
  </si>
  <si>
    <t>EXPERIMENT GRID : Imputation Conditions  (final design)</t>
  </si>
  <si>
    <t>Condition</t>
  </si>
  <si>
    <t>Mechanism</t>
  </si>
  <si>
    <t>Information provided</t>
  </si>
  <si>
    <t>What it isolates</t>
  </si>
  <si>
    <t>Given prompt</t>
  </si>
  <si>
    <t>MICE-PMM</t>
  </si>
  <si>
    <t>Noise floor</t>
  </si>
  <si>
    <t>MCAR (20%)</t>
  </si>
  <si>
    <t>Observed cells; nuts1, breakdown_var and breakdown_cat supplied as predictors</t>
  </si>
  <si>
    <t>Residual error of the pipeline; the baseline against which MNAR results are measured</t>
  </si>
  <si>
    <t>Not provided (statistical method, no prompt).</t>
  </si>
  <si>
    <t>MICE MNAR</t>
  </si>
  <si>
    <t>Engineered MNAR (10/25/45%, β = 0.05)</t>
  </si>
  <si>
    <t xml:space="preserve">MICE imputation with Predictive Mean Matching; the widely adopted statistical method for data retreival. </t>
  </si>
  <si>
    <t>LLM CONDITIONS  (Qwen 3-32B; temperature 0.6, top-p 0.9, thinking mode)</t>
  </si>
  <si>
    <t>One-shot (MNAR)</t>
  </si>
  <si>
    <t>Single target table; real NUTS-1 names; observed cells only (no curated anchors, no national totals)</t>
  </si>
  <si>
    <t>Imputation from the table shown; real area names leave room for memorised ISTAT geography</t>
  </si>
  <si>
    <t>System: You are completing missing wage cells in an ISTAT Structure of Earnings survey table. All values are mean gross hourly wages in EUR/hour, Italy 2022. You are given one target table stratified by NUTS-1 macro-area, with some cells missing. Base your outputs strictly on what is present in the given data, learning from the observed cells in the table. Each missing cell is marked MISSING_&lt;id&gt;. Return ONLY a two-column CSV with header: cell_id,value — one row per missing cell. Values must be between 6 and 50. No markdown, no explanation.
User: TARGET TABLE (geography-stratified wages: impute every MISSING_&lt;id&gt; cell)
cell_id,area,breakdown_var,breakdown_cat,sex,value
&lt;one row per cell; observed cells show the value, missing cells show MISSING_&lt;id&gt;&gt;
Return a CSV with header: cell_id,value: one row per MISSING_&lt;id&gt; cell only.</t>
  </si>
  <si>
    <t>Anonymized geography (MNAR)</t>
  </si>
  <si>
    <t>Same target table; NUTS-1 names replaced with Area_1–Area_5; real identities kept only in an off-model key for evaluation</t>
  </si>
  <si>
    <t>Isolates learned wage structure from memorised geography: identical to one-shot except the real names are hidden</t>
  </si>
  <si>
    <t>Identical to the one-shot prompt above, except every NUTS-1 name in the target table is replaced with Area_1–Area_5. The real area identities are stored only in the off-model key (missing_keys) used to score the imputations, so the model never sees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</si>
</sst>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2.0"/>
      <color rgb="FFCC0000"/>
      <name val="Times New Roman"/>
    </font>
    <font/>
    <font>
      <b/>
      <sz val="11.0"/>
      <color theme="1"/>
      <name val="Times New Roman"/>
    </font>
    <font>
      <b/>
      <sz val="11.0"/>
      <color rgb="FFCC0000"/>
      <name val="Times New Roman"/>
    </font>
    <font>
      <sz val="11.0"/>
      <color theme="1"/>
      <name val="Times New Roman"/>
    </font>
    <font>
      <i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  <xf borderId="4" fillId="0" fontId="5" numFmtId="2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4" fillId="0" fontId="5" numFmtId="1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shrinkToFit="0" vertical="top" wrapText="1"/>
    </xf>
    <xf borderId="4" fillId="0" fontId="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6.0"/>
    <col customWidth="1" min="3" max="3" width="15.0"/>
    <col customWidth="1" min="4" max="5" width="13.0"/>
    <col customWidth="1" min="6" max="6" width="15.0"/>
    <col customWidth="1" min="7" max="7" width="17.0"/>
    <col customWidth="1" min="8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3"/>
    </row>
    <row r="2" ht="6.0" customHeight="1"/>
    <row r="3" ht="18.0" customHeight="1">
      <c r="A3" s="4"/>
      <c r="B3" s="4"/>
      <c r="C3" s="4"/>
      <c r="D3" s="5" t="s">
        <v>1</v>
      </c>
      <c r="E3" s="3"/>
      <c r="F3" s="5" t="s">
        <v>2</v>
      </c>
      <c r="G3" s="3"/>
    </row>
    <row r="4" ht="30.0" customHeight="1">
      <c r="A4" s="4" t="s">
        <v>3</v>
      </c>
      <c r="B4" s="4" t="s">
        <v>4</v>
      </c>
      <c r="C4" s="4" t="s">
        <v>5</v>
      </c>
      <c r="D4" s="6" t="s">
        <v>6</v>
      </c>
      <c r="E4" s="6" t="s">
        <v>7</v>
      </c>
      <c r="F4" s="6" t="s">
        <v>8</v>
      </c>
      <c r="G4" s="6" t="s">
        <v>9</v>
      </c>
    </row>
    <row r="5" ht="15.75" customHeight="1">
      <c r="A5" s="7" t="s">
        <v>10</v>
      </c>
      <c r="B5" s="2"/>
      <c r="C5" s="2"/>
      <c r="D5" s="2"/>
      <c r="E5" s="2"/>
      <c r="F5" s="2"/>
      <c r="G5" s="3"/>
    </row>
    <row r="6" ht="21.75" customHeight="1">
      <c r="A6" s="8">
        <v>1.0</v>
      </c>
      <c r="B6" s="9" t="s">
        <v>11</v>
      </c>
      <c r="C6" s="9" t="s">
        <v>12</v>
      </c>
      <c r="D6" s="10">
        <v>0.006</v>
      </c>
      <c r="E6" s="10">
        <v>0.052</v>
      </c>
      <c r="F6" s="10">
        <v>-0.006</v>
      </c>
      <c r="G6" s="10">
        <v>-0.004</v>
      </c>
    </row>
    <row r="7" ht="21.75" customHeight="1">
      <c r="A7" s="8">
        <v>2.0</v>
      </c>
      <c r="B7" s="9" t="s">
        <v>13</v>
      </c>
      <c r="C7" s="9" t="s">
        <v>12</v>
      </c>
      <c r="D7" s="10">
        <v>0.06</v>
      </c>
      <c r="E7" s="10">
        <v>0.1</v>
      </c>
      <c r="F7" s="10">
        <v>0.018</v>
      </c>
      <c r="G7" s="10">
        <v>0.023</v>
      </c>
    </row>
    <row r="8" ht="21.75" customHeight="1">
      <c r="A8" s="8">
        <v>3.0</v>
      </c>
      <c r="B8" s="9" t="s">
        <v>14</v>
      </c>
      <c r="C8" s="9" t="s">
        <v>12</v>
      </c>
      <c r="D8" s="10">
        <v>0.089</v>
      </c>
      <c r="E8" s="10">
        <v>0.144</v>
      </c>
      <c r="F8" s="10">
        <v>0.024</v>
      </c>
      <c r="G8" s="10">
        <v>0.04</v>
      </c>
    </row>
    <row r="9" ht="21.75" customHeight="1">
      <c r="A9" s="8">
        <v>4.0</v>
      </c>
      <c r="B9" s="9" t="s">
        <v>15</v>
      </c>
      <c r="C9" s="9" t="s">
        <v>12</v>
      </c>
      <c r="D9" s="10">
        <v>0.677</v>
      </c>
      <c r="E9" s="10">
        <v>0.526</v>
      </c>
      <c r="F9" s="10">
        <v>0.967</v>
      </c>
      <c r="G9" s="10">
        <v>0.928</v>
      </c>
    </row>
    <row r="10" ht="15.75" customHeight="1">
      <c r="A10" s="7" t="s">
        <v>16</v>
      </c>
      <c r="B10" s="2"/>
      <c r="C10" s="2"/>
      <c r="D10" s="2"/>
      <c r="E10" s="2"/>
      <c r="F10" s="2"/>
      <c r="G10" s="3"/>
    </row>
    <row r="11" ht="21.75" customHeight="1">
      <c r="A11" s="8">
        <v>5.0</v>
      </c>
      <c r="B11" s="9" t="s">
        <v>17</v>
      </c>
      <c r="C11" s="9" t="s">
        <v>18</v>
      </c>
      <c r="D11" s="10">
        <v>0.96</v>
      </c>
      <c r="E11" s="10">
        <v>2.255</v>
      </c>
      <c r="F11" s="10">
        <v>0.17</v>
      </c>
      <c r="G11" s="10">
        <v>0.27</v>
      </c>
    </row>
    <row r="12" ht="21.75" customHeight="1">
      <c r="A12" s="8">
        <v>6.0</v>
      </c>
      <c r="B12" s="9" t="s">
        <v>19</v>
      </c>
      <c r="C12" s="9" t="s">
        <v>18</v>
      </c>
      <c r="D12" s="10">
        <v>0.909</v>
      </c>
      <c r="E12" s="10">
        <v>2.396</v>
      </c>
      <c r="F12" s="10">
        <v>0.355</v>
      </c>
      <c r="G12" s="10">
        <v>0.563</v>
      </c>
    </row>
    <row r="13" ht="21.75" customHeight="1">
      <c r="A13" s="8">
        <v>7.0</v>
      </c>
      <c r="B13" s="9" t="s">
        <v>20</v>
      </c>
      <c r="C13" s="9" t="s">
        <v>18</v>
      </c>
      <c r="D13" s="10">
        <v>0.721</v>
      </c>
      <c r="E13" s="10">
        <v>1.633</v>
      </c>
      <c r="F13" s="10">
        <v>0.165</v>
      </c>
      <c r="G13" s="10">
        <v>0.095</v>
      </c>
    </row>
    <row r="14" ht="21.75" customHeight="1">
      <c r="A14" s="8">
        <v>8.0</v>
      </c>
      <c r="B14" s="9" t="s">
        <v>21</v>
      </c>
      <c r="C14" s="9" t="s">
        <v>18</v>
      </c>
      <c r="D14" s="10">
        <v>0.967</v>
      </c>
      <c r="E14" s="10">
        <v>2.333</v>
      </c>
      <c r="F14" s="10">
        <v>0.195</v>
      </c>
      <c r="G14" s="10">
        <v>0.21</v>
      </c>
    </row>
    <row r="15" ht="21.75" customHeight="1">
      <c r="A15" s="8">
        <v>9.0</v>
      </c>
      <c r="B15" s="9" t="s">
        <v>22</v>
      </c>
      <c r="C15" s="9" t="s">
        <v>18</v>
      </c>
      <c r="D15" s="10">
        <v>0.633</v>
      </c>
      <c r="E15" s="10">
        <v>1.682</v>
      </c>
      <c r="F15" s="10">
        <v>0.241</v>
      </c>
      <c r="G15" s="10">
        <v>0.181</v>
      </c>
    </row>
    <row r="16" ht="21.75" customHeight="1">
      <c r="A16" s="8">
        <v>10.0</v>
      </c>
      <c r="B16" s="9" t="s">
        <v>23</v>
      </c>
      <c r="C16" s="9" t="s">
        <v>24</v>
      </c>
      <c r="D16" s="11">
        <f t="shared" ref="D16:G16" si="1">MAX(D11:D15)/MIN(D11:D15)</f>
        <v>1.52764613</v>
      </c>
      <c r="E16" s="11">
        <f t="shared" si="1"/>
        <v>1.467238212</v>
      </c>
      <c r="F16" s="11">
        <f t="shared" si="1"/>
        <v>2.151515152</v>
      </c>
      <c r="G16" s="11">
        <f t="shared" si="1"/>
        <v>5.926315789</v>
      </c>
    </row>
    <row r="17" ht="15.75" customHeight="1">
      <c r="A17" s="7" t="s">
        <v>25</v>
      </c>
      <c r="B17" s="2"/>
      <c r="C17" s="2"/>
      <c r="D17" s="2"/>
      <c r="E17" s="2"/>
      <c r="F17" s="2"/>
      <c r="G17" s="3"/>
    </row>
    <row r="18" ht="21.75" customHeight="1">
      <c r="A18" s="8">
        <v>11.0</v>
      </c>
      <c r="B18" s="9" t="s">
        <v>26</v>
      </c>
      <c r="C18" s="9" t="s">
        <v>27</v>
      </c>
      <c r="D18" s="8" t="s">
        <v>28</v>
      </c>
      <c r="E18" s="10">
        <v>1.307</v>
      </c>
      <c r="F18" s="10">
        <v>0.134</v>
      </c>
      <c r="G18" s="10">
        <v>0.124</v>
      </c>
    </row>
    <row r="19" ht="21.75" customHeight="1">
      <c r="A19" s="8">
        <v>12.0</v>
      </c>
      <c r="B19" s="9" t="s">
        <v>29</v>
      </c>
      <c r="C19" s="9" t="s">
        <v>30</v>
      </c>
      <c r="D19" s="8" t="s">
        <v>28</v>
      </c>
      <c r="E19" s="10">
        <v>1.224</v>
      </c>
      <c r="F19" s="10">
        <v>0.196</v>
      </c>
      <c r="G19" s="10">
        <v>0.166</v>
      </c>
    </row>
    <row r="20" ht="21.75" customHeight="1">
      <c r="A20" s="8">
        <v>13.0</v>
      </c>
      <c r="B20" s="9" t="s">
        <v>31</v>
      </c>
      <c r="C20" s="9" t="s">
        <v>32</v>
      </c>
      <c r="D20" s="8" t="s">
        <v>28</v>
      </c>
      <c r="E20" s="10">
        <v>3.256</v>
      </c>
      <c r="F20" s="10">
        <v>0.33</v>
      </c>
      <c r="G20" s="10">
        <v>0.39</v>
      </c>
    </row>
    <row r="21" ht="21.75" customHeight="1">
      <c r="A21" s="8">
        <v>14.0</v>
      </c>
      <c r="B21" s="9" t="s">
        <v>33</v>
      </c>
      <c r="C21" s="9" t="s">
        <v>24</v>
      </c>
      <c r="D21" s="8" t="s">
        <v>28</v>
      </c>
      <c r="E21" s="11">
        <f t="shared" ref="E21:G21" si="2">E20/E18</f>
        <v>2.491201224</v>
      </c>
      <c r="F21" s="11">
        <f t="shared" si="2"/>
        <v>2.462686567</v>
      </c>
      <c r="G21" s="11">
        <f t="shared" si="2"/>
        <v>3.14516129</v>
      </c>
    </row>
    <row r="22" ht="15.75" customHeight="1">
      <c r="A22" s="7" t="s">
        <v>34</v>
      </c>
      <c r="B22" s="2"/>
      <c r="C22" s="2"/>
      <c r="D22" s="2"/>
      <c r="E22" s="2"/>
      <c r="F22" s="2"/>
      <c r="G22" s="3"/>
    </row>
    <row r="23" ht="21.75" customHeight="1">
      <c r="A23" s="8">
        <v>15.0</v>
      </c>
      <c r="B23" s="9" t="s">
        <v>35</v>
      </c>
      <c r="C23" s="9" t="s">
        <v>36</v>
      </c>
      <c r="D23" s="8" t="s">
        <v>28</v>
      </c>
      <c r="E23" s="11">
        <f>E7/D7</f>
        <v>1.666666667</v>
      </c>
      <c r="F23" s="8" t="s">
        <v>28</v>
      </c>
      <c r="G23" s="8" t="s">
        <v>28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G1"/>
    <mergeCell ref="D3:E3"/>
    <mergeCell ref="F3:G3"/>
    <mergeCell ref="A5:G5"/>
    <mergeCell ref="A10:G10"/>
    <mergeCell ref="A17:G17"/>
    <mergeCell ref="A22:G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.0"/>
    <col customWidth="1" min="3" max="3" width="14.0"/>
    <col customWidth="1" min="4" max="4" width="12.0"/>
    <col customWidth="1" min="5" max="5" width="16.0"/>
    <col customWidth="1" min="6" max="6" width="14.0"/>
    <col customWidth="1" min="7" max="26" width="8.71"/>
  </cols>
  <sheetData>
    <row r="1" ht="25.5" customHeight="1">
      <c r="A1" s="1" t="s">
        <v>37</v>
      </c>
      <c r="B1" s="2"/>
      <c r="C1" s="2"/>
      <c r="D1" s="2"/>
      <c r="E1" s="2"/>
      <c r="F1" s="3"/>
    </row>
    <row r="2" ht="6.0" customHeight="1"/>
    <row r="3" ht="15.75" customHeight="1">
      <c r="A3" s="12" t="s">
        <v>38</v>
      </c>
      <c r="B3" s="2"/>
      <c r="C3" s="2"/>
      <c r="D3" s="2"/>
      <c r="E3" s="2"/>
      <c r="F3" s="3"/>
    </row>
    <row r="4" ht="45.0" customHeight="1">
      <c r="A4" s="4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</row>
    <row r="5" ht="18.0" customHeight="1">
      <c r="A5" s="9" t="s">
        <v>45</v>
      </c>
      <c r="B5" s="13">
        <v>8.0</v>
      </c>
      <c r="C5" s="10">
        <v>0.024</v>
      </c>
      <c r="D5" s="10">
        <v>0.006</v>
      </c>
      <c r="E5" s="10">
        <v>0.94</v>
      </c>
      <c r="F5" s="10">
        <v>0.025</v>
      </c>
    </row>
    <row r="6" ht="18.0" customHeight="1">
      <c r="A6" s="9" t="s">
        <v>46</v>
      </c>
      <c r="B6" s="13">
        <v>8.0</v>
      </c>
      <c r="C6" s="10">
        <v>0.025</v>
      </c>
      <c r="D6" s="10">
        <v>0.007</v>
      </c>
      <c r="E6" s="10">
        <v>0.927</v>
      </c>
      <c r="F6" s="10">
        <v>0.037</v>
      </c>
    </row>
    <row r="7" ht="18.0" customHeight="1">
      <c r="A7" s="9" t="s">
        <v>47</v>
      </c>
      <c r="B7" s="13">
        <v>50.0</v>
      </c>
      <c r="C7" s="10">
        <v>0.131</v>
      </c>
      <c r="D7" s="10">
        <v>0.061</v>
      </c>
      <c r="E7" s="10">
        <v>0.417</v>
      </c>
      <c r="F7" s="10">
        <v>0.245</v>
      </c>
    </row>
    <row r="9" ht="15.75" customHeight="1">
      <c r="A9" s="12" t="s">
        <v>48</v>
      </c>
      <c r="B9" s="2"/>
      <c r="C9" s="2"/>
      <c r="D9" s="2"/>
      <c r="E9" s="2"/>
      <c r="F9" s="3"/>
    </row>
    <row r="10" ht="30.0" customHeight="1">
      <c r="A10" s="4" t="s">
        <v>49</v>
      </c>
      <c r="B10" s="4" t="s">
        <v>50</v>
      </c>
    </row>
    <row r="11" ht="18.0" customHeight="1">
      <c r="A11" s="9" t="s">
        <v>51</v>
      </c>
      <c r="B11" s="10">
        <v>0.02</v>
      </c>
    </row>
    <row r="12" ht="18.0" customHeight="1">
      <c r="A12" s="9" t="s">
        <v>52</v>
      </c>
      <c r="B12" s="10">
        <v>0.056</v>
      </c>
    </row>
    <row r="13" ht="45.0" customHeight="1">
      <c r="A13" s="14" t="s">
        <v>53</v>
      </c>
      <c r="B13" s="2"/>
      <c r="C13" s="2"/>
      <c r="D13" s="2"/>
      <c r="E13" s="2"/>
      <c r="F13" s="2"/>
    </row>
    <row r="15" ht="15.75" customHeight="1">
      <c r="A15" s="12" t="s">
        <v>54</v>
      </c>
      <c r="B15" s="2"/>
      <c r="C15" s="2"/>
      <c r="D15" s="2"/>
      <c r="E15" s="2"/>
      <c r="F15" s="3"/>
    </row>
    <row r="16" ht="30.0" customHeight="1">
      <c r="A16" s="4" t="s">
        <v>39</v>
      </c>
      <c r="B16" s="4" t="s">
        <v>55</v>
      </c>
      <c r="C16" s="4" t="s">
        <v>56</v>
      </c>
    </row>
    <row r="17" ht="18.0" customHeight="1">
      <c r="A17" s="9" t="s">
        <v>57</v>
      </c>
      <c r="B17" s="11">
        <v>0.86</v>
      </c>
      <c r="C17" s="11">
        <v>5.4</v>
      </c>
    </row>
    <row r="18" ht="18.0" customHeight="1">
      <c r="A18" s="9" t="s">
        <v>1</v>
      </c>
      <c r="B18" s="11">
        <v>7.96</v>
      </c>
      <c r="C18" s="11">
        <v>4.82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F1"/>
    <mergeCell ref="A3:F3"/>
    <mergeCell ref="A9:F9"/>
    <mergeCell ref="A15:F15"/>
    <mergeCell ref="A13:F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3" width="20.0"/>
    <col customWidth="1" min="4" max="4" width="34.0"/>
    <col customWidth="1" min="5" max="5" width="40.0"/>
    <col customWidth="1" min="6" max="6" width="62.0"/>
    <col customWidth="1" min="7" max="26" width="8.71"/>
  </cols>
  <sheetData>
    <row r="1" ht="25.5" customHeight="1">
      <c r="A1" s="1" t="s">
        <v>58</v>
      </c>
      <c r="B1" s="2"/>
      <c r="C1" s="2"/>
      <c r="D1" s="2"/>
      <c r="E1" s="2"/>
      <c r="F1" s="3"/>
    </row>
    <row r="2" ht="6.0" customHeight="1"/>
    <row r="3" ht="30.0" customHeight="1">
      <c r="A3" s="4" t="s">
        <v>3</v>
      </c>
      <c r="B3" s="4" t="s">
        <v>59</v>
      </c>
      <c r="C3" s="4" t="s">
        <v>60</v>
      </c>
      <c r="D3" s="4" t="s">
        <v>61</v>
      </c>
      <c r="E3" s="4" t="s">
        <v>62</v>
      </c>
      <c r="F3" s="4" t="s">
        <v>63</v>
      </c>
    </row>
    <row r="4" ht="15.75" customHeight="1">
      <c r="A4" s="12" t="s">
        <v>64</v>
      </c>
      <c r="B4" s="2"/>
      <c r="C4" s="2"/>
      <c r="D4" s="2"/>
      <c r="E4" s="2"/>
      <c r="F4" s="3"/>
    </row>
    <row r="5" ht="45.0" customHeight="1">
      <c r="A5" s="8"/>
      <c r="B5" s="15" t="s">
        <v>65</v>
      </c>
      <c r="C5" s="9" t="s">
        <v>66</v>
      </c>
      <c r="D5" s="9" t="s">
        <v>67</v>
      </c>
      <c r="E5" s="16" t="s">
        <v>68</v>
      </c>
      <c r="F5" s="17" t="s">
        <v>69</v>
      </c>
    </row>
    <row r="6" ht="45.0" customHeight="1">
      <c r="A6" s="8"/>
      <c r="B6" s="18" t="s">
        <v>70</v>
      </c>
      <c r="C6" s="9" t="s">
        <v>71</v>
      </c>
      <c r="D6" s="9" t="s">
        <v>67</v>
      </c>
      <c r="E6" s="16" t="s">
        <v>72</v>
      </c>
      <c r="F6" s="17" t="s">
        <v>69</v>
      </c>
    </row>
    <row r="7" ht="15.75" customHeight="1">
      <c r="A7" s="7" t="s">
        <v>73</v>
      </c>
      <c r="B7" s="2"/>
      <c r="C7" s="2"/>
      <c r="D7" s="2"/>
      <c r="E7" s="2"/>
      <c r="F7" s="3"/>
    </row>
    <row r="8" ht="150.0" customHeight="1">
      <c r="A8" s="8"/>
      <c r="B8" s="18" t="s">
        <v>74</v>
      </c>
      <c r="C8" s="9" t="s">
        <v>71</v>
      </c>
      <c r="D8" s="9" t="s">
        <v>75</v>
      </c>
      <c r="E8" s="16" t="s">
        <v>76</v>
      </c>
      <c r="F8" s="17" t="s">
        <v>77</v>
      </c>
    </row>
    <row r="9" ht="94.5" customHeight="1">
      <c r="A9" s="8"/>
      <c r="B9" s="18" t="s">
        <v>78</v>
      </c>
      <c r="C9" s="9" t="s">
        <v>71</v>
      </c>
      <c r="D9" s="9" t="s">
        <v>79</v>
      </c>
      <c r="E9" s="9" t="s">
        <v>80</v>
      </c>
      <c r="F9" s="17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4:F4"/>
    <mergeCell ref="A7:F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2026-06-15T16:33:50Z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